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HOK NEW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3" i="1"/>
  <c r="I4" i="1"/>
  <c r="I5" i="1"/>
  <c r="I6" i="1"/>
  <c r="I2" i="1"/>
</calcChain>
</file>

<file path=xl/sharedStrings.xml><?xml version="1.0" encoding="utf-8"?>
<sst xmlns="http://schemas.openxmlformats.org/spreadsheetml/2006/main" count="72" uniqueCount="44">
  <si>
    <t>CATEGORY</t>
  </si>
  <si>
    <t>Altamount Road</t>
  </si>
  <si>
    <t>Malabar Hill</t>
  </si>
  <si>
    <t>Worli</t>
  </si>
  <si>
    <t>Cuffe Parade</t>
  </si>
  <si>
    <t>Nariman Point</t>
  </si>
  <si>
    <t>Breach Candy</t>
  </si>
  <si>
    <t>Nepean Sea Road</t>
  </si>
  <si>
    <t>Peddar Road</t>
  </si>
  <si>
    <t>Bandra West</t>
  </si>
  <si>
    <t>Juhu</t>
  </si>
  <si>
    <t>Khar West</t>
  </si>
  <si>
    <t>Lower Parel</t>
  </si>
  <si>
    <t>Prabhadevi</t>
  </si>
  <si>
    <t>Santacruz West</t>
  </si>
  <si>
    <t>Andheri West</t>
  </si>
  <si>
    <t>Powai</t>
  </si>
  <si>
    <t>Versova</t>
  </si>
  <si>
    <t>Goregaon East</t>
  </si>
  <si>
    <t>Mulund</t>
  </si>
  <si>
    <t>South Mumbai</t>
  </si>
  <si>
    <t>Western Suburbs</t>
  </si>
  <si>
    <t>Central Mumbai</t>
  </si>
  <si>
    <t>Central Suburbs</t>
  </si>
  <si>
    <t>Ultra Luxury</t>
  </si>
  <si>
    <t>Luxury</t>
  </si>
  <si>
    <t>Premium</t>
  </si>
  <si>
    <t>High Demand</t>
  </si>
  <si>
    <t>Tech Hub</t>
  </si>
  <si>
    <t>Mid Premium</t>
  </si>
  <si>
    <t>Mid Range</t>
  </si>
  <si>
    <t>Budget Premium</t>
  </si>
  <si>
    <t>Area</t>
  </si>
  <si>
    <t>Zone</t>
  </si>
  <si>
    <t>Bandra Kurla Complex</t>
  </si>
  <si>
    <t xml:space="preserve"> 1BHK Rent</t>
  </si>
  <si>
    <t xml:space="preserve"> 2BHK Rent</t>
  </si>
  <si>
    <t>Food Cost</t>
  </si>
  <si>
    <t>Transport Cost</t>
  </si>
  <si>
    <t xml:space="preserve"> Grocery Cost</t>
  </si>
  <si>
    <t>Total Cost(1BHK)</t>
  </si>
  <si>
    <t>Total Cost(2BHK)</t>
  </si>
  <si>
    <t>Rent-To-Lifestyle Ratio (1BHK)%</t>
  </si>
  <si>
    <t>Rent-To-Lifestyle Ratio (2BHK)%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</si>
</sst>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6" fontId="0" fillId="0" borderId="0" xfId="0" applyNumberFormat="1"/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/>
  </sheetViews>
  <sheetFormatPr defaultRowHeight="14.4" x14ac:dyDescent="0.3"/>
  <cols>
    <col min="1" max="1" width="23" customWidth="1"/>
    <col min="2" max="2" width="19.33203125" customWidth="1"/>
    <col min="3" max="3" width="20" customWidth="1"/>
    <col min="4" max="4" width="13.6640625" customWidth="1"/>
    <col min="5" max="5" width="20.77734375" customWidth="1"/>
    <col min="6" max="6" width="17.88671875" customWidth="1"/>
    <col min="7" max="7" width="18.6640625" customWidth="1"/>
    <col min="8" max="8" width="21.77734375" customWidth="1"/>
    <col min="9" max="9" width="21.109375" customWidth="1"/>
    <col min="10" max="10" width="18.44140625" customWidth="1"/>
    <col min="11" max="11" width="28.33203125" customWidth="1"/>
    <col min="12" max="12" width="27.6640625" customWidth="1"/>
  </cols>
  <sheetData>
    <row r="1" spans="1:12" s="1" customFormat="1" x14ac:dyDescent="0.3">
      <c r="A1" s="1" t="s">
        <v>32</v>
      </c>
      <c r="B1" s="1" t="s">
        <v>33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0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3">
      <c r="A2" t="s">
        <v>1</v>
      </c>
      <c r="B2" t="s">
        <v>20</v>
      </c>
      <c r="C2" s="2">
        <v>210000</v>
      </c>
      <c r="D2" s="2">
        <v>420000</v>
      </c>
      <c r="E2" s="2">
        <v>28000</v>
      </c>
      <c r="F2" s="2">
        <v>10000</v>
      </c>
      <c r="G2" s="2">
        <v>18000</v>
      </c>
      <c r="H2" t="s">
        <v>24</v>
      </c>
      <c r="I2" s="2">
        <f>SUM(C2,E2,F2,G2)</f>
        <v>266000</v>
      </c>
      <c r="J2" s="2">
        <f>SUM(D2,E2,F2,G2)</f>
        <v>476000</v>
      </c>
      <c r="K2">
        <f>C2/I2*100</f>
        <v>78.94736842105263</v>
      </c>
      <c r="L2">
        <f>D2/J2*100</f>
        <v>88.235294117647058</v>
      </c>
    </row>
    <row r="3" spans="1:12" x14ac:dyDescent="0.3">
      <c r="A3" t="s">
        <v>2</v>
      </c>
      <c r="B3" t="s">
        <v>20</v>
      </c>
      <c r="C3" s="2">
        <v>180000</v>
      </c>
      <c r="D3" s="2">
        <v>380000</v>
      </c>
      <c r="E3" s="2">
        <v>26000</v>
      </c>
      <c r="F3" s="2">
        <v>9000</v>
      </c>
      <c r="G3" s="2">
        <v>17000</v>
      </c>
      <c r="H3" t="s">
        <v>24</v>
      </c>
      <c r="I3" s="2">
        <f t="shared" ref="I3:I21" si="0">SUM(C3,E3,F3,G3)</f>
        <v>232000</v>
      </c>
      <c r="J3" s="2">
        <f t="shared" ref="J3:J21" si="1">SUM(D3,E3,F3,G3)</f>
        <v>432000</v>
      </c>
      <c r="K3">
        <f t="shared" ref="K3:K21" si="2">C3/I3*100</f>
        <v>77.58620689655173</v>
      </c>
      <c r="L3">
        <f t="shared" ref="L3:L21" si="3">D3/J3*100</f>
        <v>87.962962962962962</v>
      </c>
    </row>
    <row r="4" spans="1:12" x14ac:dyDescent="0.3">
      <c r="A4" t="s">
        <v>3</v>
      </c>
      <c r="B4" t="s">
        <v>20</v>
      </c>
      <c r="C4" s="2">
        <v>135000</v>
      </c>
      <c r="D4" s="2">
        <v>280000</v>
      </c>
      <c r="E4" s="2">
        <v>24000</v>
      </c>
      <c r="F4" s="2">
        <v>8000</v>
      </c>
      <c r="G4" s="2">
        <v>16000</v>
      </c>
      <c r="H4" t="s">
        <v>24</v>
      </c>
      <c r="I4" s="2">
        <f t="shared" si="0"/>
        <v>183000</v>
      </c>
      <c r="J4" s="2">
        <f t="shared" si="1"/>
        <v>328000</v>
      </c>
      <c r="K4">
        <f t="shared" si="2"/>
        <v>73.770491803278688</v>
      </c>
      <c r="L4">
        <f t="shared" si="3"/>
        <v>85.365853658536579</v>
      </c>
    </row>
    <row r="5" spans="1:12" x14ac:dyDescent="0.3">
      <c r="A5" t="s">
        <v>4</v>
      </c>
      <c r="B5" t="s">
        <v>20</v>
      </c>
      <c r="C5" s="2">
        <v>140000</v>
      </c>
      <c r="D5" s="2">
        <v>300000</v>
      </c>
      <c r="E5" s="2">
        <v>25000</v>
      </c>
      <c r="F5" s="2">
        <v>8500</v>
      </c>
      <c r="G5" s="2">
        <v>16500</v>
      </c>
      <c r="H5" t="s">
        <v>24</v>
      </c>
      <c r="I5" s="2">
        <f t="shared" si="0"/>
        <v>190000</v>
      </c>
      <c r="J5" s="2">
        <f t="shared" si="1"/>
        <v>350000</v>
      </c>
      <c r="K5">
        <f t="shared" si="2"/>
        <v>73.68421052631578</v>
      </c>
      <c r="L5">
        <f t="shared" si="3"/>
        <v>85.714285714285708</v>
      </c>
    </row>
    <row r="6" spans="1:12" x14ac:dyDescent="0.3">
      <c r="A6" t="s">
        <v>5</v>
      </c>
      <c r="B6" t="s">
        <v>20</v>
      </c>
      <c r="C6" s="2">
        <v>160000</v>
      </c>
      <c r="D6" s="2">
        <v>320000</v>
      </c>
      <c r="E6" s="2">
        <v>26000</v>
      </c>
      <c r="F6" s="2">
        <v>9000</v>
      </c>
      <c r="G6" s="2">
        <v>17000</v>
      </c>
      <c r="H6" t="s">
        <v>24</v>
      </c>
      <c r="I6" s="2">
        <f t="shared" si="0"/>
        <v>212000</v>
      </c>
      <c r="J6" s="2">
        <f t="shared" si="1"/>
        <v>372000</v>
      </c>
      <c r="K6">
        <f t="shared" si="2"/>
        <v>75.471698113207552</v>
      </c>
      <c r="L6">
        <f t="shared" si="3"/>
        <v>86.021505376344081</v>
      </c>
    </row>
    <row r="7" spans="1:12" x14ac:dyDescent="0.3">
      <c r="A7" t="s">
        <v>6</v>
      </c>
      <c r="B7" t="s">
        <v>20</v>
      </c>
      <c r="C7" s="2">
        <v>130000</v>
      </c>
      <c r="D7" s="2">
        <v>270000</v>
      </c>
      <c r="E7" s="2">
        <v>23000</v>
      </c>
      <c r="F7" s="2">
        <v>8000</v>
      </c>
      <c r="G7" s="2">
        <v>15000</v>
      </c>
      <c r="H7" t="s">
        <v>25</v>
      </c>
      <c r="I7" s="2">
        <f t="shared" si="0"/>
        <v>176000</v>
      </c>
      <c r="J7" s="2">
        <f t="shared" si="1"/>
        <v>316000</v>
      </c>
      <c r="K7">
        <f t="shared" si="2"/>
        <v>73.86363636363636</v>
      </c>
      <c r="L7">
        <f t="shared" si="3"/>
        <v>85.443037974683548</v>
      </c>
    </row>
    <row r="8" spans="1:12" x14ac:dyDescent="0.3">
      <c r="A8" t="s">
        <v>7</v>
      </c>
      <c r="B8" t="s">
        <v>20</v>
      </c>
      <c r="C8" s="2">
        <v>145000</v>
      </c>
      <c r="D8" s="2">
        <v>310000</v>
      </c>
      <c r="E8" s="2">
        <v>24000</v>
      </c>
      <c r="F8" s="2">
        <v>8500</v>
      </c>
      <c r="G8" s="2">
        <v>16000</v>
      </c>
      <c r="H8" t="s">
        <v>25</v>
      </c>
      <c r="I8" s="2">
        <f t="shared" si="0"/>
        <v>193500</v>
      </c>
      <c r="J8" s="2">
        <f t="shared" si="1"/>
        <v>358500</v>
      </c>
      <c r="K8">
        <f t="shared" si="2"/>
        <v>74.935400516795866</v>
      </c>
      <c r="L8">
        <f t="shared" si="3"/>
        <v>86.471408647140862</v>
      </c>
    </row>
    <row r="9" spans="1:12" x14ac:dyDescent="0.3">
      <c r="A9" t="s">
        <v>8</v>
      </c>
      <c r="B9" t="s">
        <v>20</v>
      </c>
      <c r="C9" s="2">
        <v>120000</v>
      </c>
      <c r="D9" s="2">
        <v>250000</v>
      </c>
      <c r="E9" s="2">
        <v>22000</v>
      </c>
      <c r="F9" s="2">
        <v>7500</v>
      </c>
      <c r="G9" s="2">
        <v>15000</v>
      </c>
      <c r="H9" t="s">
        <v>25</v>
      </c>
      <c r="I9" s="2">
        <f t="shared" si="0"/>
        <v>164500</v>
      </c>
      <c r="J9" s="2">
        <f t="shared" si="1"/>
        <v>294500</v>
      </c>
      <c r="K9">
        <f t="shared" si="2"/>
        <v>72.948328267477208</v>
      </c>
      <c r="L9">
        <f t="shared" si="3"/>
        <v>84.88964346349745</v>
      </c>
    </row>
    <row r="10" spans="1:12" x14ac:dyDescent="0.3">
      <c r="A10" t="s">
        <v>9</v>
      </c>
      <c r="B10" t="s">
        <v>21</v>
      </c>
      <c r="C10" s="2">
        <v>75000</v>
      </c>
      <c r="D10" s="2">
        <v>145000</v>
      </c>
      <c r="E10" s="2">
        <v>20000</v>
      </c>
      <c r="F10" s="2">
        <v>6000</v>
      </c>
      <c r="G10" s="2">
        <v>13000</v>
      </c>
      <c r="H10" t="s">
        <v>25</v>
      </c>
      <c r="I10" s="2">
        <f t="shared" si="0"/>
        <v>114000</v>
      </c>
      <c r="J10" s="2">
        <f t="shared" si="1"/>
        <v>184000</v>
      </c>
      <c r="K10">
        <f t="shared" si="2"/>
        <v>65.789473684210535</v>
      </c>
      <c r="L10">
        <f t="shared" si="3"/>
        <v>78.804347826086953</v>
      </c>
    </row>
    <row r="11" spans="1:12" x14ac:dyDescent="0.3">
      <c r="A11" t="s">
        <v>10</v>
      </c>
      <c r="B11" t="s">
        <v>21</v>
      </c>
      <c r="C11" s="2">
        <v>70000</v>
      </c>
      <c r="D11" s="2">
        <v>135000</v>
      </c>
      <c r="E11" s="2">
        <v>19000</v>
      </c>
      <c r="F11" s="2">
        <v>6000</v>
      </c>
      <c r="G11" s="2">
        <v>12000</v>
      </c>
      <c r="H11" t="s">
        <v>25</v>
      </c>
      <c r="I11" s="2">
        <f t="shared" si="0"/>
        <v>107000</v>
      </c>
      <c r="J11" s="2">
        <f t="shared" si="1"/>
        <v>172000</v>
      </c>
      <c r="K11">
        <f t="shared" si="2"/>
        <v>65.420560747663544</v>
      </c>
      <c r="L11">
        <f t="shared" si="3"/>
        <v>78.488372093023244</v>
      </c>
    </row>
    <row r="12" spans="1:12" x14ac:dyDescent="0.3">
      <c r="A12" t="s">
        <v>11</v>
      </c>
      <c r="B12" t="s">
        <v>21</v>
      </c>
      <c r="C12" s="2">
        <v>68000</v>
      </c>
      <c r="D12" s="2">
        <v>120000</v>
      </c>
      <c r="E12" s="2">
        <v>18000</v>
      </c>
      <c r="F12" s="2">
        <v>5500</v>
      </c>
      <c r="G12" s="2">
        <v>12000</v>
      </c>
      <c r="H12" t="s">
        <v>26</v>
      </c>
      <c r="I12" s="2">
        <f t="shared" si="0"/>
        <v>103500</v>
      </c>
      <c r="J12" s="2">
        <f t="shared" si="1"/>
        <v>155500</v>
      </c>
      <c r="K12">
        <f t="shared" si="2"/>
        <v>65.700483091787447</v>
      </c>
      <c r="L12">
        <f t="shared" si="3"/>
        <v>77.170418006430864</v>
      </c>
    </row>
    <row r="13" spans="1:12" x14ac:dyDescent="0.3">
      <c r="A13" t="s">
        <v>12</v>
      </c>
      <c r="B13" t="s">
        <v>22</v>
      </c>
      <c r="C13" s="2">
        <v>62000</v>
      </c>
      <c r="D13" s="2">
        <v>110000</v>
      </c>
      <c r="E13" s="2">
        <v>17000</v>
      </c>
      <c r="F13" s="2">
        <v>5000</v>
      </c>
      <c r="G13" s="2">
        <v>11000</v>
      </c>
      <c r="H13" t="s">
        <v>26</v>
      </c>
      <c r="I13" s="2">
        <f t="shared" si="0"/>
        <v>95000</v>
      </c>
      <c r="J13" s="2">
        <f t="shared" si="1"/>
        <v>143000</v>
      </c>
      <c r="K13">
        <f t="shared" si="2"/>
        <v>65.26315789473685</v>
      </c>
      <c r="L13">
        <f t="shared" si="3"/>
        <v>76.923076923076934</v>
      </c>
    </row>
    <row r="14" spans="1:12" x14ac:dyDescent="0.3">
      <c r="A14" t="s">
        <v>13</v>
      </c>
      <c r="B14" t="s">
        <v>22</v>
      </c>
      <c r="C14" s="2">
        <v>58000</v>
      </c>
      <c r="D14" s="2">
        <v>100000</v>
      </c>
      <c r="E14" s="2">
        <v>16000</v>
      </c>
      <c r="F14" s="2">
        <v>5000</v>
      </c>
      <c r="G14" s="2">
        <v>10500</v>
      </c>
      <c r="H14" t="s">
        <v>26</v>
      </c>
      <c r="I14" s="2">
        <f t="shared" si="0"/>
        <v>89500</v>
      </c>
      <c r="J14" s="2">
        <f t="shared" si="1"/>
        <v>131500</v>
      </c>
      <c r="K14">
        <f t="shared" si="2"/>
        <v>64.80446927374301</v>
      </c>
      <c r="L14">
        <f t="shared" si="3"/>
        <v>76.045627376425855</v>
      </c>
    </row>
    <row r="15" spans="1:12" x14ac:dyDescent="0.3">
      <c r="A15" t="s">
        <v>34</v>
      </c>
      <c r="B15" t="s">
        <v>22</v>
      </c>
      <c r="C15" s="2">
        <v>60000</v>
      </c>
      <c r="D15" s="2">
        <v>105000</v>
      </c>
      <c r="E15" s="2">
        <v>17000</v>
      </c>
      <c r="F15" s="2">
        <v>5500</v>
      </c>
      <c r="G15" s="2">
        <v>11000</v>
      </c>
      <c r="H15" t="s">
        <v>26</v>
      </c>
      <c r="I15" s="2">
        <f t="shared" si="0"/>
        <v>93500</v>
      </c>
      <c r="J15" s="2">
        <f t="shared" si="1"/>
        <v>138500</v>
      </c>
      <c r="K15">
        <f t="shared" si="2"/>
        <v>64.171122994652407</v>
      </c>
      <c r="L15">
        <f t="shared" si="3"/>
        <v>75.812274368231044</v>
      </c>
    </row>
    <row r="16" spans="1:12" x14ac:dyDescent="0.3">
      <c r="A16" t="s">
        <v>14</v>
      </c>
      <c r="B16" t="s">
        <v>21</v>
      </c>
      <c r="C16" s="2">
        <v>55000</v>
      </c>
      <c r="D16" s="2">
        <v>95000</v>
      </c>
      <c r="E16" s="2">
        <v>15000</v>
      </c>
      <c r="F16" s="2">
        <v>4500</v>
      </c>
      <c r="G16" s="2">
        <v>10000</v>
      </c>
      <c r="H16" t="s">
        <v>26</v>
      </c>
      <c r="I16" s="2">
        <f t="shared" si="0"/>
        <v>84500</v>
      </c>
      <c r="J16" s="2">
        <f t="shared" si="1"/>
        <v>124500</v>
      </c>
      <c r="K16">
        <f t="shared" si="2"/>
        <v>65.088757396449708</v>
      </c>
      <c r="L16">
        <f t="shared" si="3"/>
        <v>76.305220883534147</v>
      </c>
    </row>
    <row r="17" spans="1:12" x14ac:dyDescent="0.3">
      <c r="A17" t="s">
        <v>15</v>
      </c>
      <c r="B17" t="s">
        <v>21</v>
      </c>
      <c r="C17" s="2">
        <v>45000</v>
      </c>
      <c r="D17" s="2">
        <v>80000</v>
      </c>
      <c r="E17" s="2">
        <v>14000</v>
      </c>
      <c r="F17" s="2">
        <v>4000</v>
      </c>
      <c r="G17" s="2">
        <v>9000</v>
      </c>
      <c r="H17" t="s">
        <v>27</v>
      </c>
      <c r="I17" s="2">
        <f t="shared" si="0"/>
        <v>72000</v>
      </c>
      <c r="J17" s="2">
        <f t="shared" si="1"/>
        <v>107000</v>
      </c>
      <c r="K17">
        <f t="shared" si="2"/>
        <v>62.5</v>
      </c>
      <c r="L17">
        <f t="shared" si="3"/>
        <v>74.766355140186917</v>
      </c>
    </row>
    <row r="18" spans="1:12" x14ac:dyDescent="0.3">
      <c r="A18" t="s">
        <v>16</v>
      </c>
      <c r="B18" t="s">
        <v>23</v>
      </c>
      <c r="C18" s="2">
        <v>65000</v>
      </c>
      <c r="D18" s="2">
        <v>95000</v>
      </c>
      <c r="E18" s="2">
        <v>15000</v>
      </c>
      <c r="F18" s="2">
        <v>4500</v>
      </c>
      <c r="G18" s="2">
        <v>10000</v>
      </c>
      <c r="H18" t="s">
        <v>28</v>
      </c>
      <c r="I18" s="2">
        <f t="shared" si="0"/>
        <v>94500</v>
      </c>
      <c r="J18" s="2">
        <f t="shared" si="1"/>
        <v>124500</v>
      </c>
      <c r="K18">
        <f t="shared" si="2"/>
        <v>68.783068783068785</v>
      </c>
      <c r="L18">
        <f t="shared" si="3"/>
        <v>76.305220883534147</v>
      </c>
    </row>
    <row r="19" spans="1:12" x14ac:dyDescent="0.3">
      <c r="A19" t="s">
        <v>17</v>
      </c>
      <c r="B19" t="s">
        <v>21</v>
      </c>
      <c r="C19" s="2">
        <v>50000</v>
      </c>
      <c r="D19" s="2">
        <v>85000</v>
      </c>
      <c r="E19" s="2">
        <v>14000</v>
      </c>
      <c r="F19" s="2">
        <v>4000</v>
      </c>
      <c r="G19" s="2">
        <v>9000</v>
      </c>
      <c r="H19" t="s">
        <v>29</v>
      </c>
      <c r="I19" s="2">
        <f t="shared" si="0"/>
        <v>77000</v>
      </c>
      <c r="J19" s="2">
        <f t="shared" si="1"/>
        <v>112000</v>
      </c>
      <c r="K19">
        <f t="shared" si="2"/>
        <v>64.935064935064929</v>
      </c>
      <c r="L19">
        <f t="shared" si="3"/>
        <v>75.892857142857139</v>
      </c>
    </row>
    <row r="20" spans="1:12" x14ac:dyDescent="0.3">
      <c r="A20" t="s">
        <v>18</v>
      </c>
      <c r="B20" t="s">
        <v>21</v>
      </c>
      <c r="C20" s="2">
        <v>38000</v>
      </c>
      <c r="D20" s="2">
        <v>68000</v>
      </c>
      <c r="E20" s="2">
        <v>12000</v>
      </c>
      <c r="F20" s="2">
        <v>3500</v>
      </c>
      <c r="G20" s="2">
        <v>8000</v>
      </c>
      <c r="H20" t="s">
        <v>30</v>
      </c>
      <c r="I20" s="2">
        <f t="shared" si="0"/>
        <v>61500</v>
      </c>
      <c r="J20" s="2">
        <f t="shared" si="1"/>
        <v>91500</v>
      </c>
      <c r="K20">
        <f t="shared" si="2"/>
        <v>61.788617886178862</v>
      </c>
      <c r="L20">
        <f t="shared" si="3"/>
        <v>74.316939890710387</v>
      </c>
    </row>
    <row r="21" spans="1:12" x14ac:dyDescent="0.3">
      <c r="A21" t="s">
        <v>19</v>
      </c>
      <c r="B21" t="s">
        <v>23</v>
      </c>
      <c r="C21" s="2">
        <v>32000</v>
      </c>
      <c r="D21" s="2">
        <v>55000</v>
      </c>
      <c r="E21" s="2">
        <v>10000</v>
      </c>
      <c r="F21" s="3">
        <v>3000</v>
      </c>
      <c r="G21" s="2">
        <v>7000</v>
      </c>
      <c r="H21" t="s">
        <v>31</v>
      </c>
      <c r="I21" s="2">
        <f t="shared" si="0"/>
        <v>52000</v>
      </c>
      <c r="J21" s="2">
        <f t="shared" si="1"/>
        <v>75000</v>
      </c>
      <c r="K21">
        <f t="shared" si="2"/>
        <v>61.53846153846154</v>
      </c>
      <c r="L21">
        <f t="shared" si="3"/>
        <v>73.333333333333329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NEW</dc:creator>
  <cp:lastModifiedBy>ASHOK NEW</cp:lastModifiedBy>
  <dcterms:created xsi:type="dcterms:W3CDTF">2026-05-26T14:44:59Z</dcterms:created>
  <dcterms:modified xsi:type="dcterms:W3CDTF">2026-06-10T06:05:45Z</dcterms:modified>
</cp:coreProperties>
</file>